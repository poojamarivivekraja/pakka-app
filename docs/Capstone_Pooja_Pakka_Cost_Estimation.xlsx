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ooja/Downloads/"/>
    </mc:Choice>
  </mc:AlternateContent>
  <xr:revisionPtr revIDLastSave="0" documentId="8_{C407895D-78E1-724F-8560-3769BD4113FF}" xr6:coauthVersionLast="47" xr6:coauthVersionMax="47" xr10:uidLastSave="{00000000-0000-0000-0000-000000000000}"/>
  <bookViews>
    <workbookView xWindow="240" yWindow="660" windowWidth="25200" windowHeight="14460" xr2:uid="{00000000-000D-0000-FFFF-FFFF00000000}"/>
  </bookViews>
  <sheets>
    <sheet name="Assumptions" sheetId="1" r:id="rId1"/>
    <sheet name="Usage and AI cost" sheetId="2" r:id="rId2"/>
    <sheet name="Scale and margin" sheetId="3" r:id="rId3"/>
    <sheet name="No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C3" i="3"/>
  <c r="D3" i="3"/>
  <c r="B4" i="3"/>
  <c r="C4" i="3"/>
  <c r="D4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2" i="2"/>
  <c r="C2" i="2"/>
  <c r="B3" i="2"/>
  <c r="C3" i="2"/>
  <c r="B4" i="2"/>
  <c r="B5" i="2"/>
  <c r="C5" i="2"/>
  <c r="B6" i="2"/>
  <c r="C6" i="2"/>
</calcChain>
</file>

<file path=xl/sharedStrings.xml><?xml version="1.0" encoding="utf-8"?>
<sst xmlns="http://schemas.openxmlformats.org/spreadsheetml/2006/main" count="78" uniqueCount="69">
  <si>
    <t>Item</t>
  </si>
  <si>
    <t>Value</t>
  </si>
  <si>
    <t>Unit</t>
  </si>
  <si>
    <t>Source or note</t>
  </si>
  <si>
    <t>Model</t>
  </si>
  <si>
    <t>gemini-3.5-flash-lite</t>
  </si>
  <si>
    <t>Prototype model, chosen for speed and cost</t>
  </si>
  <si>
    <t>Input price per 1M tokens</t>
  </si>
  <si>
    <t>USD</t>
  </si>
  <si>
    <t>Google Gemini API pricing page, Oct 2026</t>
  </si>
  <si>
    <t>Output price per 1M tokens</t>
  </si>
  <si>
    <t>Exchange rate</t>
  </si>
  <si>
    <t>INR per USD</t>
  </si>
  <si>
    <t>Assumption, update before submitting</t>
  </si>
  <si>
    <t>Average input tokens per message</t>
  </si>
  <si>
    <t>tokens</t>
  </si>
  <si>
    <t>Measured in S1 test run: 19,974 input tokens over 9 calls</t>
  </si>
  <si>
    <t>Average output tokens per message</t>
  </si>
  <si>
    <t>Measured in S1 test run: 1,831 output tokens over 9 calls</t>
  </si>
  <si>
    <t>Orders per business per month</t>
  </si>
  <si>
    <t>orders</t>
  </si>
  <si>
    <t>Assumption: a bakery with helpers takes 20 to 30 orders a week</t>
  </si>
  <si>
    <t>Messages per order reaching the model</t>
  </si>
  <si>
    <t>messages</t>
  </si>
  <si>
    <t>Assumption</t>
  </si>
  <si>
    <t>Extra non-order messages</t>
  </si>
  <si>
    <t>share</t>
  </si>
  <si>
    <t>Assumption: small talk and enquiries that never become orders</t>
  </si>
  <si>
    <t>Usage stress multiplier</t>
  </si>
  <si>
    <t>x</t>
  </si>
  <si>
    <t>Stress test for long chats, images and retries</t>
  </si>
  <si>
    <t>Hosting and database, 100 businesses</t>
  </si>
  <si>
    <t>USD per month</t>
  </si>
  <si>
    <t>Vercel and Supabase paid plans, to verify</t>
  </si>
  <si>
    <t>Hosting and database, 1,000 businesses</t>
  </si>
  <si>
    <t>Price hypothesis, low</t>
  </si>
  <si>
    <t>INR per month</t>
  </si>
  <si>
    <t>To validate in beta</t>
  </si>
  <si>
    <t>Price hypothesis, high</t>
  </si>
  <si>
    <t>Metric</t>
  </si>
  <si>
    <t>INR</t>
  </si>
  <si>
    <t>Cost per message</t>
  </si>
  <si>
    <t>Cost per order</t>
  </si>
  <si>
    <t>Messages per business per month (count, not currency)</t>
  </si>
  <si>
    <t>AI cost per business per month</t>
  </si>
  <si>
    <t>AI cost per business per month under stress</t>
  </si>
  <si>
    <t>Prototype (1 business)</t>
  </si>
  <si>
    <t>100 businesses</t>
  </si>
  <si>
    <t>1,000 businesses</t>
  </si>
  <si>
    <t>Businesses</t>
  </si>
  <si>
    <t>Messages per month</t>
  </si>
  <si>
    <t>AI cost per month (USD)</t>
  </si>
  <si>
    <t>Hosting and database per month (USD)</t>
  </si>
  <si>
    <t>Total cost per month (USD)</t>
  </si>
  <si>
    <t>Total cost per business per month (USD)</t>
  </si>
  <si>
    <t>Total cost per business per month (INR)</t>
  </si>
  <si>
    <t>Gross margin at the low price</t>
  </si>
  <si>
    <t>Gross margin at the high price</t>
  </si>
  <si>
    <t>Total cost per business under stress (INR)</t>
  </si>
  <si>
    <t>Gross margin under stress at the low price</t>
  </si>
  <si>
    <t>Gross margin under stress at the high price</t>
  </si>
  <si>
    <t>Note</t>
  </si>
  <si>
    <t>Pricing source: Google Gemini API pricing page (ai.google.dev/gemini-api/docs/pricing).</t>
  </si>
  <si>
    <t>Token usage is measured from one test conversation with two images, so it is on the heavy side; replace it with the averages from the full eval when available.</t>
  </si>
  <si>
    <t>The free tier is not used for the estimate: Google may use free-tier data to improve its models, so production needs a paid tier.</t>
  </si>
  <si>
    <t>WhatsApp messaging cost is near zero because Pakka only reads messages sent through the WhatsApp Business app.</t>
  </si>
  <si>
    <t>Excluded: Meta Tech Provider or partner fees, payment gateway fees, support and staff costs, and tax.</t>
  </si>
  <si>
    <t>To verify before submission: exchange rate, Vercel and Supabase prices.</t>
  </si>
  <si>
    <t>The model sits behind a one-line config change, so a different model can be costed by editing rows 1 to 3 and the token averages (Assumptions rows 2 to 4 and 6 to 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</si>
</sst>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&quot;x&quot;"/>
    <numFmt numFmtId="166" formatCode="\₹#,##0"/>
    <numFmt numFmtId="167" formatCode="&quot;$&quot;#,##0.0000"/>
    <numFmt numFmtId="168" formatCode="\₹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horizontal="right" vertical="top" wrapText="1"/>
    </xf>
    <xf numFmtId="164" fontId="3" fillId="3" borderId="0" xfId="0" applyNumberFormat="1" applyFont="1" applyFill="1" applyAlignment="1">
      <alignment horizontal="right" vertical="top" wrapText="1"/>
    </xf>
    <xf numFmtId="3" fontId="3" fillId="3" borderId="0" xfId="0" applyNumberFormat="1" applyFont="1" applyFill="1" applyAlignment="1">
      <alignment horizontal="right" vertical="top" wrapText="1"/>
    </xf>
    <xf numFmtId="9" fontId="3" fillId="3" borderId="0" xfId="0" applyNumberFormat="1" applyFont="1" applyFill="1" applyAlignment="1">
      <alignment horizontal="right" vertical="top" wrapText="1"/>
    </xf>
    <xf numFmtId="165" fontId="3" fillId="3" borderId="0" xfId="0" applyNumberFormat="1" applyFont="1" applyFill="1" applyAlignment="1">
      <alignment horizontal="right" vertical="top" wrapText="1"/>
    </xf>
    <xf numFmtId="166" fontId="3" fillId="3" borderId="0" xfId="0" applyNumberFormat="1" applyFont="1" applyFill="1" applyAlignment="1">
      <alignment horizontal="right" vertical="top" wrapText="1"/>
    </xf>
    <xf numFmtId="167" fontId="1" fillId="0" borderId="0" xfId="0" applyNumberFormat="1" applyFont="1" applyAlignment="1">
      <alignment vertical="top" wrapText="1"/>
    </xf>
    <xf numFmtId="168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3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  <xf numFmtId="9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E3D468-BCF3-4152-8316-2E5CC586F3EF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ea6c1594-8cbe-4bb9-b48b-d67eac8f179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43.83203125" customWidth="1"/>
    <col min="2" max="2" width="24.6640625" customWidth="1"/>
    <col min="3" max="3" width="19" customWidth="1"/>
    <col min="4" max="4" width="72.5" customWidth="1"/>
  </cols>
  <sheetData>
    <row r="1" spans="1:4" ht="16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6" x14ac:dyDescent="0.2">
      <c r="A2" s="1" t="s">
        <v>4</v>
      </c>
      <c r="B2" s="3" t="s">
        <v>5</v>
      </c>
      <c r="C2" s="1"/>
      <c r="D2" s="1" t="s">
        <v>6</v>
      </c>
    </row>
    <row r="3" spans="1:4" ht="16" x14ac:dyDescent="0.2">
      <c r="A3" s="1" t="s">
        <v>7</v>
      </c>
      <c r="B3" s="4">
        <v>0.3</v>
      </c>
      <c r="C3" s="1" t="s">
        <v>8</v>
      </c>
      <c r="D3" s="1" t="s">
        <v>9</v>
      </c>
    </row>
    <row r="4" spans="1:4" ht="16" x14ac:dyDescent="0.2">
      <c r="A4" s="1" t="s">
        <v>10</v>
      </c>
      <c r="B4" s="4">
        <v>2.5</v>
      </c>
      <c r="C4" s="1" t="s">
        <v>8</v>
      </c>
      <c r="D4" s="1" t="s">
        <v>9</v>
      </c>
    </row>
    <row r="5" spans="1:4" ht="16" x14ac:dyDescent="0.2">
      <c r="A5" s="1" t="s">
        <v>11</v>
      </c>
      <c r="B5" s="5">
        <v>90</v>
      </c>
      <c r="C5" s="1" t="s">
        <v>12</v>
      </c>
      <c r="D5" s="1" t="s">
        <v>13</v>
      </c>
    </row>
    <row r="6" spans="1:4" ht="16" x14ac:dyDescent="0.2">
      <c r="A6" s="1" t="s">
        <v>14</v>
      </c>
      <c r="B6" s="5">
        <v>2200</v>
      </c>
      <c r="C6" s="1" t="s">
        <v>15</v>
      </c>
      <c r="D6" s="1" t="s">
        <v>16</v>
      </c>
    </row>
    <row r="7" spans="1:4" ht="16" x14ac:dyDescent="0.2">
      <c r="A7" s="1" t="s">
        <v>17</v>
      </c>
      <c r="B7" s="5">
        <v>200</v>
      </c>
      <c r="C7" s="1" t="s">
        <v>15</v>
      </c>
      <c r="D7" s="1" t="s">
        <v>18</v>
      </c>
    </row>
    <row r="8" spans="1:4" ht="16" x14ac:dyDescent="0.2">
      <c r="A8" s="1" t="s">
        <v>19</v>
      </c>
      <c r="B8" s="5">
        <v>100</v>
      </c>
      <c r="C8" s="1" t="s">
        <v>20</v>
      </c>
      <c r="D8" s="1" t="s">
        <v>21</v>
      </c>
    </row>
    <row r="9" spans="1:4" ht="16" x14ac:dyDescent="0.2">
      <c r="A9" s="1" t="s">
        <v>22</v>
      </c>
      <c r="B9" s="5">
        <v>12</v>
      </c>
      <c r="C9" s="1" t="s">
        <v>23</v>
      </c>
      <c r="D9" s="1" t="s">
        <v>24</v>
      </c>
    </row>
    <row r="10" spans="1:4" ht="16" x14ac:dyDescent="0.2">
      <c r="A10" s="1" t="s">
        <v>25</v>
      </c>
      <c r="B10" s="6">
        <v>0.3</v>
      </c>
      <c r="C10" s="1" t="s">
        <v>26</v>
      </c>
      <c r="D10" s="1" t="s">
        <v>27</v>
      </c>
    </row>
    <row r="11" spans="1:4" ht="16" x14ac:dyDescent="0.2">
      <c r="A11" s="1" t="s">
        <v>28</v>
      </c>
      <c r="B11" s="7">
        <v>3</v>
      </c>
      <c r="C11" s="1" t="s">
        <v>29</v>
      </c>
      <c r="D11" s="1" t="s">
        <v>30</v>
      </c>
    </row>
    <row r="12" spans="1:4" ht="16" x14ac:dyDescent="0.2">
      <c r="A12" s="1" t="s">
        <v>31</v>
      </c>
      <c r="B12" s="4">
        <v>45</v>
      </c>
      <c r="C12" s="1" t="s">
        <v>32</v>
      </c>
      <c r="D12" s="1" t="s">
        <v>33</v>
      </c>
    </row>
    <row r="13" spans="1:4" ht="16" x14ac:dyDescent="0.2">
      <c r="A13" s="1" t="s">
        <v>34</v>
      </c>
      <c r="B13" s="4">
        <v>200</v>
      </c>
      <c r="C13" s="1" t="s">
        <v>32</v>
      </c>
      <c r="D13" s="1" t="s">
        <v>24</v>
      </c>
    </row>
    <row r="14" spans="1:4" ht="16" x14ac:dyDescent="0.2">
      <c r="A14" s="1" t="s">
        <v>35</v>
      </c>
      <c r="B14" s="8">
        <v>499</v>
      </c>
      <c r="C14" s="1" t="s">
        <v>36</v>
      </c>
      <c r="D14" s="1" t="s">
        <v>37</v>
      </c>
    </row>
    <row r="15" spans="1:4" ht="16" x14ac:dyDescent="0.2">
      <c r="A15" s="1" t="s">
        <v>38</v>
      </c>
      <c r="B15" s="8">
        <v>999</v>
      </c>
      <c r="C15" s="1" t="s">
        <v>36</v>
      </c>
      <c r="D15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91A6-A38D-4273-AE3A-9FBDABAF5D18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1640625" customWidth="1"/>
    <col min="2" max="3" width="21" customWidth="1"/>
  </cols>
  <sheetData>
    <row r="1" spans="1:3" ht="16" x14ac:dyDescent="0.2">
      <c r="A1" s="2" t="s">
        <v>39</v>
      </c>
      <c r="B1" s="2" t="s">
        <v>8</v>
      </c>
      <c r="C1" s="2" t="s">
        <v>40</v>
      </c>
    </row>
    <row r="2" spans="1:3" ht="16" x14ac:dyDescent="0.2">
      <c r="A2" s="1" t="s">
        <v>41</v>
      </c>
      <c r="B2" s="9">
        <f>(Assumptions!B6*Assumptions!B3+Assumptions!B7*Assumptions!B4)/1000000</f>
        <v>1.16E-3</v>
      </c>
      <c r="C2" s="10">
        <f>B2*Assumptions!$B$5</f>
        <v>0.10440000000000001</v>
      </c>
    </row>
    <row r="3" spans="1:3" ht="16" x14ac:dyDescent="0.2">
      <c r="A3" s="1" t="s">
        <v>42</v>
      </c>
      <c r="B3" s="9">
        <f>B2*Assumptions!B9</f>
        <v>1.392E-2</v>
      </c>
      <c r="C3" s="10">
        <f>B3*Assumptions!$B$5</f>
        <v>1.2527999999999999</v>
      </c>
    </row>
    <row r="4" spans="1:3" ht="16" x14ac:dyDescent="0.2">
      <c r="A4" s="1" t="s">
        <v>43</v>
      </c>
      <c r="B4" s="11">
        <f>Assumptions!B8*Assumptions!B9*(1+Assumptions!B10)</f>
        <v>1560</v>
      </c>
      <c r="C4" s="1"/>
    </row>
    <row r="5" spans="1:3" ht="16" x14ac:dyDescent="0.2">
      <c r="A5" s="1" t="s">
        <v>44</v>
      </c>
      <c r="B5" s="12">
        <f>B4*B2</f>
        <v>1.8096000000000001</v>
      </c>
      <c r="C5" s="13">
        <f>B5*Assumptions!$B$5</f>
        <v>162.864</v>
      </c>
    </row>
    <row r="6" spans="1:3" ht="16" x14ac:dyDescent="0.2">
      <c r="A6" s="1" t="s">
        <v>45</v>
      </c>
      <c r="B6" s="12">
        <f>B5*Assumptions!B11</f>
        <v>5.4288000000000007</v>
      </c>
      <c r="C6" s="13">
        <f>B6*Assumptions!$B$5</f>
        <v>488.59200000000004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9AB9-1116-48A1-9672-F38A6765E32D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3.33203125" customWidth="1"/>
    <col min="2" max="4" width="24.6640625" customWidth="1"/>
  </cols>
  <sheetData>
    <row r="1" spans="1:4" ht="16" x14ac:dyDescent="0.2">
      <c r="A1" s="2" t="s">
        <v>39</v>
      </c>
      <c r="B1" s="14" t="s">
        <v>46</v>
      </c>
      <c r="C1" s="14" t="s">
        <v>47</v>
      </c>
      <c r="D1" s="14" t="s">
        <v>48</v>
      </c>
    </row>
    <row r="2" spans="1:4" ht="16" x14ac:dyDescent="0.2">
      <c r="A2" s="1" t="s">
        <v>49</v>
      </c>
      <c r="B2" s="5">
        <v>1</v>
      </c>
      <c r="C2" s="5">
        <v>100</v>
      </c>
      <c r="D2" s="5">
        <v>1000</v>
      </c>
    </row>
    <row r="3" spans="1:4" ht="16" x14ac:dyDescent="0.2">
      <c r="A3" s="1" t="s">
        <v>50</v>
      </c>
      <c r="B3" s="15">
        <f>B2*'Usage and AI cost'!$B$4</f>
        <v>1560</v>
      </c>
      <c r="C3" s="15">
        <f>C2*'Usage and AI cost'!$B$4</f>
        <v>156000</v>
      </c>
      <c r="D3" s="15">
        <f>D2*'Usage and AI cost'!$B$4</f>
        <v>1560000</v>
      </c>
    </row>
    <row r="4" spans="1:4" ht="16" x14ac:dyDescent="0.2">
      <c r="A4" s="1" t="s">
        <v>51</v>
      </c>
      <c r="B4" s="16">
        <f>B2*'Usage and AI cost'!$B$5</f>
        <v>1.8096000000000001</v>
      </c>
      <c r="C4" s="16">
        <f>C2*'Usage and AI cost'!$B$5</f>
        <v>180.96</v>
      </c>
      <c r="D4" s="16">
        <f>D2*'Usage and AI cost'!$B$5</f>
        <v>1809.6000000000001</v>
      </c>
    </row>
    <row r="5" spans="1:4" ht="16" x14ac:dyDescent="0.2">
      <c r="A5" s="1" t="s">
        <v>52</v>
      </c>
      <c r="B5" s="4">
        <v>0</v>
      </c>
      <c r="C5" s="16">
        <f>Assumptions!$B$12</f>
        <v>45</v>
      </c>
      <c r="D5" s="16">
        <f>Assumptions!$B$13</f>
        <v>200</v>
      </c>
    </row>
    <row r="6" spans="1:4" ht="16" x14ac:dyDescent="0.2">
      <c r="A6" s="1" t="s">
        <v>53</v>
      </c>
      <c r="B6" s="16">
        <f>B4+B5</f>
        <v>1.8096000000000001</v>
      </c>
      <c r="C6" s="16">
        <f>C4+C5</f>
        <v>225.96</v>
      </c>
      <c r="D6" s="16">
        <f>D4+D5</f>
        <v>2009.6000000000001</v>
      </c>
    </row>
    <row r="7" spans="1:4" ht="16" x14ac:dyDescent="0.2">
      <c r="A7" s="1" t="s">
        <v>54</v>
      </c>
      <c r="B7" s="16">
        <f>B6/B2</f>
        <v>1.8096000000000001</v>
      </c>
      <c r="C7" s="16">
        <f>C6/C2</f>
        <v>2.2596000000000003</v>
      </c>
      <c r="D7" s="16">
        <f>D6/D2</f>
        <v>2.0096000000000003</v>
      </c>
    </row>
    <row r="8" spans="1:4" ht="16" x14ac:dyDescent="0.2">
      <c r="A8" s="1" t="s">
        <v>55</v>
      </c>
      <c r="B8" s="17">
        <f>B7*Assumptions!$B$5</f>
        <v>162.864</v>
      </c>
      <c r="C8" s="17">
        <f>C7*Assumptions!$B$5</f>
        <v>203.36400000000003</v>
      </c>
      <c r="D8" s="17">
        <f>D7*Assumptions!$B$5</f>
        <v>180.86400000000003</v>
      </c>
    </row>
    <row r="9" spans="1:4" ht="16" x14ac:dyDescent="0.2">
      <c r="A9" s="1" t="s">
        <v>56</v>
      </c>
      <c r="B9" s="18">
        <f>(Assumptions!$B$14-B8)/Assumptions!$B$14</f>
        <v>0.67361923847695382</v>
      </c>
      <c r="C9" s="18">
        <f>(Assumptions!$B$14-C8)/Assumptions!$B$14</f>
        <v>0.5924569138276552</v>
      </c>
      <c r="D9" s="18">
        <f>(Assumptions!$B$14-D8)/Assumptions!$B$14</f>
        <v>0.63754709418837674</v>
      </c>
    </row>
    <row r="10" spans="1:4" ht="16" x14ac:dyDescent="0.2">
      <c r="A10" s="1" t="s">
        <v>57</v>
      </c>
      <c r="B10" s="18">
        <f>(Assumptions!$B$15-B8)/Assumptions!$B$15</f>
        <v>0.83697297297297291</v>
      </c>
      <c r="C10" s="18">
        <f>(Assumptions!$B$15-C8)/Assumptions!$B$15</f>
        <v>0.79643243243243245</v>
      </c>
      <c r="D10" s="18">
        <f>(Assumptions!$B$15-D8)/Assumptions!$B$15</f>
        <v>0.81895495495495496</v>
      </c>
    </row>
    <row r="11" spans="1:4" ht="16" x14ac:dyDescent="0.2">
      <c r="A11" s="1" t="s">
        <v>58</v>
      </c>
      <c r="B11" s="17">
        <f>'Usage and AI cost'!$C$6+B5/B2*Assumptions!$B$5</f>
        <v>488.59200000000004</v>
      </c>
      <c r="C11" s="17">
        <f>'Usage and AI cost'!$C$6+C5/C2*Assumptions!$B$5</f>
        <v>529.0920000000001</v>
      </c>
      <c r="D11" s="17">
        <f>'Usage and AI cost'!$C$6+D5/D2*Assumptions!$B$5</f>
        <v>506.59200000000004</v>
      </c>
    </row>
    <row r="12" spans="1:4" ht="16" x14ac:dyDescent="0.2">
      <c r="A12" s="1" t="s">
        <v>59</v>
      </c>
      <c r="B12" s="18">
        <f>(Assumptions!$B$14-B11)/Assumptions!$B$14</f>
        <v>2.085771543086164E-2</v>
      </c>
      <c r="C12" s="18">
        <f>(Assumptions!$B$14-C11)/Assumptions!$B$14</f>
        <v>-6.0304609218437069E-2</v>
      </c>
      <c r="D12" s="18">
        <f>(Assumptions!$B$14-D11)/Assumptions!$B$14</f>
        <v>-1.5214428857715514E-2</v>
      </c>
    </row>
    <row r="13" spans="1:4" ht="16" x14ac:dyDescent="0.2">
      <c r="A13" s="1" t="s">
        <v>60</v>
      </c>
      <c r="B13" s="18">
        <f>(Assumptions!$B$15-B11)/Assumptions!$B$15</f>
        <v>0.51091891891891883</v>
      </c>
      <c r="C13" s="18">
        <f>(Assumptions!$B$15-C11)/Assumptions!$B$15</f>
        <v>0.47037837837837826</v>
      </c>
      <c r="D13" s="18">
        <f>(Assumptions!$B$15-D11)/Assumptions!$B$15</f>
        <v>0.49290090090090088</v>
      </c>
    </row>
  </sheetData>
  <conditionalFormatting sqref="B9:D10">
    <cfRule type="cellIs" dxfId="1" priority="1" operator="lessThan">
      <formula>0</formula>
    </cfRule>
  </conditionalFormatting>
  <conditionalFormatting sqref="B12:D13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7507-CC46-4B28-8FC2-7031687852FA}">
  <dimension ref="A1:A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4.33203125" customWidth="1"/>
  </cols>
  <sheetData>
    <row r="1" spans="1:1" ht="16" x14ac:dyDescent="0.2">
      <c r="A1" s="2" t="s">
        <v>61</v>
      </c>
    </row>
    <row r="2" spans="1:1" ht="16" x14ac:dyDescent="0.2">
      <c r="A2" s="1" t="s">
        <v>62</v>
      </c>
    </row>
    <row r="3" spans="1:1" ht="32" x14ac:dyDescent="0.2">
      <c r="A3" s="1" t="s">
        <v>63</v>
      </c>
    </row>
    <row r="4" spans="1:1" ht="16" x14ac:dyDescent="0.2">
      <c r="A4" s="1" t="s">
        <v>64</v>
      </c>
    </row>
    <row r="5" spans="1:1" ht="16" x14ac:dyDescent="0.2">
      <c r="A5" s="1" t="s">
        <v>65</v>
      </c>
    </row>
    <row r="6" spans="1:1" ht="16" x14ac:dyDescent="0.2">
      <c r="A6" s="1" t="s">
        <v>66</v>
      </c>
    </row>
    <row r="7" spans="1:1" ht="16" x14ac:dyDescent="0.2">
      <c r="A7" s="1" t="s">
        <v>67</v>
      </c>
    </row>
    <row r="8" spans="1:1" ht="32" x14ac:dyDescent="0.2">
      <c r="A8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Usage and AI cost</vt:lpstr>
      <vt:lpstr>Scale and margin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Pooja Esakkimuthu</cp:lastModifiedBy>
  <cp:revision/>
  <dcterms:created xsi:type="dcterms:W3CDTF">2026-10-14T07:32:25Z</dcterms:created>
  <dcterms:modified xsi:type="dcterms:W3CDTF">2026-10-14T12:59:30Z</dcterms:modified>
  <cp:category/>
  <cp:contentStatus/>
</cp:coreProperties>
</file>